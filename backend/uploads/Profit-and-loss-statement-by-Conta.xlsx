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1" sheetId="1" r:id="rId4"/>
  </sheets>
</workbook>
</file>

<file path=xl/sharedStrings.xml><?xml version="1.0" encoding="utf-8"?>
<sst xmlns="http://schemas.openxmlformats.org/spreadsheetml/2006/main" uniqueCount="34">
  <si>
    <t>Profit and loss statement</t>
  </si>
  <si>
    <t>Current year</t>
  </si>
  <si>
    <t>Last year</t>
  </si>
  <si>
    <t>Revenue</t>
  </si>
  <si>
    <t>Sales revenue</t>
  </si>
  <si>
    <t>Service revenue</t>
  </si>
  <si>
    <t>Interest revenue</t>
  </si>
  <si>
    <t>Gain of sales of assets</t>
  </si>
  <si>
    <t>Net sales</t>
  </si>
  <si>
    <t>Cost of goods sold</t>
  </si>
  <si>
    <t>Materials</t>
  </si>
  <si>
    <t>Labour</t>
  </si>
  <si>
    <t>Overhead</t>
  </si>
  <si>
    <t>Total cost of goods sold</t>
  </si>
  <si>
    <t>Operating expenses</t>
  </si>
  <si>
    <t>Wages</t>
  </si>
  <si>
    <t>Advertising</t>
  </si>
  <si>
    <t>Repairs and maintainance</t>
  </si>
  <si>
    <t>Rent</t>
  </si>
  <si>
    <t>Freight expenses</t>
  </si>
  <si>
    <t>Insurance</t>
  </si>
  <si>
    <t>Office suplies</t>
  </si>
  <si>
    <t>Depreciation and amortization</t>
  </si>
  <si>
    <t>Interest</t>
  </si>
  <si>
    <t>Other expenses</t>
  </si>
  <si>
    <t>Total operating expenses</t>
  </si>
  <si>
    <t>Earnings before interest and taxes</t>
  </si>
  <si>
    <t>Interest income</t>
  </si>
  <si>
    <t>Interest expense</t>
  </si>
  <si>
    <t>Earnings before taxes</t>
  </si>
  <si>
    <t>Tax expense</t>
  </si>
  <si>
    <t>Net profit</t>
  </si>
  <si>
    <t>Free invoicing for small businesses</t>
  </si>
  <si>
    <r>
      <rPr>
        <u val="single"/>
        <sz val="10"/>
        <color indexed="14"/>
        <rFont val="Arial"/>
      </rPr>
      <t>conta.com</t>
    </r>
  </si>
</sst>
</file>

<file path=xl/styles.xml><?xml version="1.0" encoding="utf-8"?>
<styleSheet xmlns="http://schemas.openxmlformats.org/spreadsheetml/2006/main">
  <numFmts count="4">
    <numFmt numFmtId="0" formatCode="General"/>
    <numFmt numFmtId="59" formatCode="[$$-409] #,##0.00"/>
    <numFmt numFmtId="60" formatCode="[$$-409] 0.00"/>
    <numFmt numFmtId="61" formatCode="[$$-409]&quot; &quot;#,##0.00"/>
  </numFmts>
  <fonts count="10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8"/>
      <name val="Calibri"/>
    </font>
    <font>
      <b val="1"/>
      <sz val="11"/>
      <color indexed="8"/>
      <name val="Calibri"/>
    </font>
    <font>
      <sz val="10"/>
      <color indexed="8"/>
      <name val="Calibri"/>
    </font>
    <font>
      <u val="single"/>
      <sz val="11"/>
      <color indexed="13"/>
      <name val="Calibri"/>
    </font>
    <font>
      <sz val="10"/>
      <color indexed="8"/>
      <name val="Arial"/>
    </font>
    <font>
      <u val="single"/>
      <sz val="10"/>
      <color indexed="13"/>
      <name val="Arial"/>
    </font>
    <font>
      <u val="single"/>
      <sz val="10"/>
      <color indexed="14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6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/>
      <top/>
      <bottom style="thin">
        <color indexed="11"/>
      </bottom>
      <diagonal/>
    </border>
    <border>
      <left/>
      <right style="thin">
        <color indexed="11"/>
      </right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14" fontId="0" fillId="2" borderId="4" applyNumberFormat="1" applyFont="1" applyFill="1" applyBorder="1" applyAlignment="1" applyProtection="0">
      <alignment horizontal="left"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14" fontId="0" fillId="2" borderId="7" applyNumberFormat="1" applyFont="1" applyFill="1" applyBorder="1" applyAlignment="1" applyProtection="0">
      <alignment horizontal="left"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0" fontId="4" fillId="3" borderId="10" applyNumberFormat="1" applyFont="1" applyFill="1" applyBorder="1" applyAlignment="1" applyProtection="0">
      <alignment horizontal="right" vertical="bottom"/>
    </xf>
    <xf numFmtId="0" fontId="0" fillId="2" borderId="11" applyNumberFormat="0" applyFont="1" applyFill="1" applyBorder="1" applyAlignment="1" applyProtection="0">
      <alignment vertical="bottom"/>
    </xf>
    <xf numFmtId="49" fontId="0" fillId="3" borderId="10" applyNumberFormat="1" applyFont="1" applyFill="1" applyBorder="1" applyAlignment="1" applyProtection="0">
      <alignment horizontal="right" vertical="bottom"/>
    </xf>
    <xf numFmtId="49" fontId="4" fillId="2" borderId="12" applyNumberFormat="1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5" fillId="2" borderId="4" applyNumberFormat="1" applyFont="1" applyFill="1" applyBorder="1" applyAlignment="1" applyProtection="0">
      <alignment vertical="bottom"/>
    </xf>
    <xf numFmtId="0" fontId="5" fillId="2" borderId="5" applyNumberFormat="0" applyFont="1" applyFill="1" applyBorder="1" applyAlignment="1" applyProtection="0">
      <alignment vertical="bottom"/>
    </xf>
    <xf numFmtId="59" fontId="5" fillId="2" borderId="5" applyNumberFormat="1" applyFont="1" applyFill="1" applyBorder="1" applyAlignment="1" applyProtection="0">
      <alignment vertical="bottom"/>
    </xf>
    <xf numFmtId="49" fontId="5" fillId="2" borderId="14" applyNumberFormat="1" applyFont="1" applyFill="1" applyBorder="1" applyAlignment="1" applyProtection="0">
      <alignment vertical="bottom"/>
    </xf>
    <xf numFmtId="0" fontId="5" fillId="2" borderId="15" applyNumberFormat="0" applyFont="1" applyFill="1" applyBorder="1" applyAlignment="1" applyProtection="0">
      <alignment vertical="bottom"/>
    </xf>
    <xf numFmtId="59" fontId="5" fillId="2" borderId="15" applyNumberFormat="1" applyFont="1" applyFill="1" applyBorder="1" applyAlignment="1" applyProtection="0">
      <alignment vertical="bottom"/>
    </xf>
    <xf numFmtId="49" fontId="4" fillId="2" borderId="16" applyNumberFormat="1" applyFont="1" applyFill="1" applyBorder="1" applyAlignment="1" applyProtection="0">
      <alignment vertical="bottom"/>
    </xf>
    <xf numFmtId="0" fontId="4" fillId="2" borderId="17" applyNumberFormat="0" applyFont="1" applyFill="1" applyBorder="1" applyAlignment="1" applyProtection="0">
      <alignment vertical="bottom"/>
    </xf>
    <xf numFmtId="59" fontId="4" fillId="2" borderId="17" applyNumberFormat="1" applyFont="1" applyFill="1" applyBorder="1" applyAlignment="1" applyProtection="0">
      <alignment vertical="bottom"/>
    </xf>
    <xf numFmtId="0" fontId="4" fillId="2" borderId="11" applyNumberFormat="0" applyFont="1" applyFill="1" applyBorder="1" applyAlignment="1" applyProtection="0">
      <alignment vertical="bottom"/>
    </xf>
    <xf numFmtId="49" fontId="4" fillId="2" borderId="18" applyNumberFormat="1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60" fontId="0" fillId="2" borderId="19" applyNumberFormat="1" applyFont="1" applyFill="1" applyBorder="1" applyAlignment="1" applyProtection="0">
      <alignment vertical="bottom"/>
    </xf>
    <xf numFmtId="49" fontId="4" fillId="2" borderId="20" applyNumberFormat="1" applyFont="1" applyFill="1" applyBorder="1" applyAlignment="1" applyProtection="0">
      <alignment vertical="bottom"/>
    </xf>
    <xf numFmtId="0" fontId="4" fillId="2" borderId="21" applyNumberFormat="0" applyFont="1" applyFill="1" applyBorder="1" applyAlignment="1" applyProtection="0">
      <alignment vertical="bottom"/>
    </xf>
    <xf numFmtId="59" fontId="4" fillId="2" borderId="21" applyNumberFormat="1" applyFont="1" applyFill="1" applyBorder="1" applyAlignment="1" applyProtection="0">
      <alignment vertical="bottom"/>
    </xf>
    <xf numFmtId="49" fontId="5" fillId="2" borderId="18" applyNumberFormat="1" applyFont="1" applyFill="1" applyBorder="1" applyAlignment="1" applyProtection="0">
      <alignment vertical="bottom"/>
    </xf>
    <xf numFmtId="0" fontId="5" fillId="2" borderId="19" applyNumberFormat="0" applyFont="1" applyFill="1" applyBorder="1" applyAlignment="1" applyProtection="0">
      <alignment vertical="bottom"/>
    </xf>
    <xf numFmtId="59" fontId="5" fillId="2" borderId="19" applyNumberFormat="1" applyFont="1" applyFill="1" applyBorder="1" applyAlignment="1" applyProtection="0">
      <alignment vertical="bottom"/>
    </xf>
    <xf numFmtId="49" fontId="5" fillId="2" borderId="20" applyNumberFormat="1" applyFont="1" applyFill="1" applyBorder="1" applyAlignment="1" applyProtection="0">
      <alignment vertical="bottom"/>
    </xf>
    <xf numFmtId="0" fontId="5" fillId="2" borderId="21" applyNumberFormat="0" applyFont="1" applyFill="1" applyBorder="1" applyAlignment="1" applyProtection="0">
      <alignment vertical="bottom"/>
    </xf>
    <xf numFmtId="60" fontId="5" fillId="2" borderId="22" applyNumberFormat="1" applyFont="1" applyFill="1" applyBorder="1" applyAlignment="1" applyProtection="0">
      <alignment vertical="bottom"/>
    </xf>
    <xf numFmtId="0" fontId="0" fillId="2" borderId="23" applyNumberFormat="0" applyFont="1" applyFill="1" applyBorder="1" applyAlignment="1" applyProtection="0">
      <alignment vertical="bottom"/>
    </xf>
    <xf numFmtId="49" fontId="4" fillId="2" borderId="24" applyNumberFormat="1" applyFont="1" applyFill="1" applyBorder="1" applyAlignment="1" applyProtection="0">
      <alignment vertical="bottom"/>
    </xf>
    <xf numFmtId="0" fontId="4" fillId="2" borderId="25" applyNumberFormat="0" applyFont="1" applyFill="1" applyBorder="1" applyAlignment="1" applyProtection="0">
      <alignment vertical="bottom"/>
    </xf>
    <xf numFmtId="59" fontId="4" fillId="2" borderId="10" applyNumberFormat="1" applyFont="1" applyFill="1" applyBorder="1" applyAlignment="1" applyProtection="0">
      <alignment vertical="bottom"/>
    </xf>
    <xf numFmtId="59" fontId="4" fillId="2" borderId="26" applyNumberFormat="1" applyFont="1" applyFill="1" applyBorder="1" applyAlignment="1" applyProtection="0">
      <alignment vertical="bottom"/>
    </xf>
    <xf numFmtId="0" fontId="0" fillId="2" borderId="27" applyNumberFormat="0" applyFont="1" applyFill="1" applyBorder="1" applyAlignment="1" applyProtection="0">
      <alignment vertical="bottom"/>
    </xf>
    <xf numFmtId="0" fontId="4" fillId="2" borderId="28" applyNumberFormat="0" applyFont="1" applyFill="1" applyBorder="1" applyAlignment="1" applyProtection="0">
      <alignment vertical="bottom"/>
    </xf>
    <xf numFmtId="0" fontId="4" fillId="2" borderId="29" applyNumberFormat="0" applyFont="1" applyFill="1" applyBorder="1" applyAlignment="1" applyProtection="0">
      <alignment vertical="bottom"/>
    </xf>
    <xf numFmtId="61" fontId="4" fillId="2" borderId="10" applyNumberFormat="1" applyFont="1" applyFill="1" applyBorder="1" applyAlignment="1" applyProtection="0">
      <alignment vertical="bottom"/>
    </xf>
    <xf numFmtId="0" fontId="0" fillId="2" borderId="30" applyNumberFormat="0" applyFont="1" applyFill="1" applyBorder="1" applyAlignment="1" applyProtection="0">
      <alignment vertical="bottom"/>
    </xf>
    <xf numFmtId="0" fontId="4" fillId="2" borderId="31" applyNumberFormat="0" applyFont="1" applyFill="1" applyBorder="1" applyAlignment="1" applyProtection="0">
      <alignment vertical="bottom"/>
    </xf>
    <xf numFmtId="0" fontId="4" fillId="2" borderId="10" applyNumberFormat="0" applyFont="1" applyFill="1" applyBorder="1" applyAlignment="1" applyProtection="0">
      <alignment vertical="bottom"/>
    </xf>
    <xf numFmtId="0" fontId="0" fillId="2" borderId="32" applyNumberFormat="0" applyFont="1" applyFill="1" applyBorder="1" applyAlignment="1" applyProtection="0">
      <alignment vertical="bottom"/>
    </xf>
    <xf numFmtId="0" fontId="0" fillId="2" borderId="31" applyNumberFormat="0" applyFont="1" applyFill="1" applyBorder="1" applyAlignment="1" applyProtection="0">
      <alignment vertical="bottom"/>
    </xf>
    <xf numFmtId="49" fontId="6" fillId="2" borderId="31" applyNumberFormat="1" applyFont="1" applyFill="1" applyBorder="1" applyAlignment="1" applyProtection="0">
      <alignment vertical="bottom"/>
    </xf>
    <xf numFmtId="49" fontId="7" fillId="2" borderId="31" applyNumberFormat="1" applyFont="1" applyFill="1" applyBorder="1" applyAlignment="1" applyProtection="0">
      <alignment vertical="bottom"/>
    </xf>
    <xf numFmtId="49" fontId="8" fillId="2" borderId="33" applyNumberFormat="1" applyFont="1" applyFill="1" applyBorder="1" applyAlignment="1" applyProtection="0">
      <alignment vertical="bottom"/>
    </xf>
    <xf numFmtId="0" fontId="4" fillId="2" borderId="34" applyNumberFormat="0" applyFont="1" applyFill="1" applyBorder="1" applyAlignment="1" applyProtection="0">
      <alignment vertical="bottom"/>
    </xf>
    <xf numFmtId="61" fontId="4" fillId="2" borderId="34" applyNumberFormat="1" applyFont="1" applyFill="1" applyBorder="1" applyAlignment="1" applyProtection="0">
      <alignment vertical="bottom"/>
    </xf>
    <xf numFmtId="0" fontId="0" fillId="2" borderId="3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aaaaaa"/>
      <rgbColor rgb="ffe2eeda"/>
      <rgbColor rgb="ff365b9c"/>
      <rgbColor rgb="ff0000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35</xdr:row>
      <xdr:rowOff>130012</xdr:rowOff>
    </xdr:from>
    <xdr:to>
      <xdr:col>0</xdr:col>
      <xdr:colOff>1367925</xdr:colOff>
      <xdr:row>38</xdr:row>
      <xdr:rowOff>110482</xdr:rowOff>
    </xdr:to>
    <xdr:pic>
      <xdr:nvPicPr>
        <xdr:cNvPr id="2" name="Bilde 1" descr="Bild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0" y="6462867"/>
          <a:ext cx="1367926" cy="4586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-tema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-tema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-tem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onta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E41"/>
  <sheetViews>
    <sheetView workbookViewId="0" showGridLines="0" defaultGridColor="1"/>
  </sheetViews>
  <sheetFormatPr defaultColWidth="10.8333" defaultRowHeight="14.25" customHeight="1" outlineLevelRow="0" outlineLevelCol="0"/>
  <cols>
    <col min="1" max="1" width="39.8516" style="1" customWidth="1"/>
    <col min="2" max="2" width="10.8516" style="1" customWidth="1"/>
    <col min="3" max="3" width="11.6719" style="1" customWidth="1"/>
    <col min="4" max="4" width="13.0781" style="1" customWidth="1"/>
    <col min="5" max="5" width="10.8516" style="1" customWidth="1"/>
    <col min="6" max="16384" width="10.8516" style="1" customWidth="1"/>
  </cols>
  <sheetData>
    <row r="1" ht="30.75" customHeight="1">
      <c r="A1" t="s" s="2">
        <v>0</v>
      </c>
      <c r="B1" s="3"/>
      <c r="C1" s="3"/>
      <c r="D1" s="3"/>
      <c r="E1" s="4"/>
    </row>
    <row r="2" ht="13.55" customHeight="1">
      <c r="A2" s="5">
        <f>TODAY()</f>
        <v>45490</v>
      </c>
      <c r="B2" s="6"/>
      <c r="C2" s="6"/>
      <c r="D2" s="6"/>
      <c r="E2" s="7"/>
    </row>
    <row r="3" ht="13.55" customHeight="1">
      <c r="A3" s="8"/>
      <c r="B3" s="9"/>
      <c r="C3" s="9"/>
      <c r="D3" s="9"/>
      <c r="E3" s="7"/>
    </row>
    <row r="4" ht="17.25" customHeight="1">
      <c r="A4" s="10"/>
      <c r="B4" s="11"/>
      <c r="C4" s="12">
        <v>2024</v>
      </c>
      <c r="D4" s="12">
        <v>2023</v>
      </c>
      <c r="E4" s="13"/>
    </row>
    <row r="5" ht="13.55" customHeight="1">
      <c r="A5" s="10"/>
      <c r="B5" s="11"/>
      <c r="C5" t="s" s="14">
        <v>1</v>
      </c>
      <c r="D5" t="s" s="14">
        <v>2</v>
      </c>
      <c r="E5" s="13"/>
    </row>
    <row r="6" ht="13.55" customHeight="1">
      <c r="A6" t="s" s="15">
        <v>3</v>
      </c>
      <c r="B6" s="16"/>
      <c r="C6" s="16"/>
      <c r="D6" s="16"/>
      <c r="E6" s="7"/>
    </row>
    <row r="7" ht="13.75" customHeight="1">
      <c r="A7" t="s" s="17">
        <v>4</v>
      </c>
      <c r="B7" s="18"/>
      <c r="C7" s="19">
        <v>120000</v>
      </c>
      <c r="D7" s="19">
        <v>120000</v>
      </c>
      <c r="E7" s="7"/>
    </row>
    <row r="8" ht="13.75" customHeight="1">
      <c r="A8" t="s" s="17">
        <v>5</v>
      </c>
      <c r="B8" s="18"/>
      <c r="C8" s="19"/>
      <c r="D8" s="19"/>
      <c r="E8" s="7"/>
    </row>
    <row r="9" ht="13.75" customHeight="1">
      <c r="A9" t="s" s="17">
        <v>6</v>
      </c>
      <c r="B9" s="18"/>
      <c r="C9" s="19"/>
      <c r="D9" s="19"/>
      <c r="E9" s="7"/>
    </row>
    <row r="10" ht="13.75" customHeight="1">
      <c r="A10" t="s" s="20">
        <v>7</v>
      </c>
      <c r="B10" s="21"/>
      <c r="C10" s="22"/>
      <c r="D10" s="22"/>
      <c r="E10" s="7"/>
    </row>
    <row r="11" ht="13.55" customHeight="1">
      <c r="A11" t="s" s="23">
        <v>8</v>
      </c>
      <c r="B11" s="24"/>
      <c r="C11" s="25">
        <f>SUM(C7:C10)</f>
        <v>120000</v>
      </c>
      <c r="D11" s="25">
        <f>SUM(D7:D10)</f>
        <v>120000</v>
      </c>
      <c r="E11" s="26"/>
    </row>
    <row r="12" ht="13.55" customHeight="1">
      <c r="A12" t="s" s="27">
        <v>9</v>
      </c>
      <c r="B12" s="28"/>
      <c r="C12" s="29"/>
      <c r="D12" s="29"/>
      <c r="E12" s="7"/>
    </row>
    <row r="13" ht="13.75" customHeight="1">
      <c r="A13" t="s" s="17">
        <v>10</v>
      </c>
      <c r="B13" s="18"/>
      <c r="C13" s="19">
        <v>20000</v>
      </c>
      <c r="D13" s="19">
        <v>20000</v>
      </c>
      <c r="E13" s="7"/>
    </row>
    <row r="14" ht="13.75" customHeight="1">
      <c r="A14" t="s" s="17">
        <v>11</v>
      </c>
      <c r="B14" s="18"/>
      <c r="C14" s="19"/>
      <c r="D14" s="19"/>
      <c r="E14" s="7"/>
    </row>
    <row r="15" ht="13.75" customHeight="1">
      <c r="A15" t="s" s="20">
        <v>12</v>
      </c>
      <c r="B15" s="21"/>
      <c r="C15" s="22"/>
      <c r="D15" s="22"/>
      <c r="E15" s="7"/>
    </row>
    <row r="16" ht="13.55" customHeight="1">
      <c r="A16" t="s" s="30">
        <v>13</v>
      </c>
      <c r="B16" s="31"/>
      <c r="C16" s="32">
        <f>SUM(C13:C15)</f>
        <v>20000</v>
      </c>
      <c r="D16" s="32">
        <f>SUM(D13:D15)</f>
        <v>20000</v>
      </c>
      <c r="E16" s="7"/>
    </row>
    <row r="17" ht="13.55" customHeight="1">
      <c r="A17" t="s" s="27">
        <v>14</v>
      </c>
      <c r="B17" s="28"/>
      <c r="C17" s="29"/>
      <c r="D17" s="29"/>
      <c r="E17" s="7"/>
    </row>
    <row r="18" ht="13.75" customHeight="1">
      <c r="A18" t="s" s="17">
        <v>15</v>
      </c>
      <c r="B18" s="18"/>
      <c r="C18" s="19">
        <v>30000</v>
      </c>
      <c r="D18" s="19">
        <v>30000</v>
      </c>
      <c r="E18" s="7"/>
    </row>
    <row r="19" ht="13.75" customHeight="1">
      <c r="A19" t="s" s="17">
        <v>16</v>
      </c>
      <c r="B19" s="18"/>
      <c r="C19" s="19">
        <v>20000</v>
      </c>
      <c r="D19" s="19">
        <v>20000</v>
      </c>
      <c r="E19" s="7"/>
    </row>
    <row r="20" ht="13.75" customHeight="1">
      <c r="A20" t="s" s="17">
        <v>17</v>
      </c>
      <c r="B20" s="18"/>
      <c r="C20" s="19">
        <v>200</v>
      </c>
      <c r="D20" s="19">
        <v>200</v>
      </c>
      <c r="E20" s="7"/>
    </row>
    <row r="21" ht="13.75" customHeight="1">
      <c r="A21" t="s" s="17">
        <v>18</v>
      </c>
      <c r="B21" s="18"/>
      <c r="C21" s="19">
        <v>200</v>
      </c>
      <c r="D21" s="19">
        <v>200</v>
      </c>
      <c r="E21" s="7"/>
    </row>
    <row r="22" ht="13.75" customHeight="1">
      <c r="A22" t="s" s="17">
        <v>19</v>
      </c>
      <c r="B22" s="18"/>
      <c r="C22" s="19">
        <v>200</v>
      </c>
      <c r="D22" s="19">
        <v>200</v>
      </c>
      <c r="E22" s="7"/>
    </row>
    <row r="23" ht="13.75" customHeight="1">
      <c r="A23" t="s" s="17">
        <v>20</v>
      </c>
      <c r="B23" s="18"/>
      <c r="C23" s="19">
        <v>200</v>
      </c>
      <c r="D23" s="19">
        <v>200</v>
      </c>
      <c r="E23" s="7"/>
    </row>
    <row r="24" ht="13.75" customHeight="1">
      <c r="A24" t="s" s="17">
        <v>21</v>
      </c>
      <c r="B24" s="18"/>
      <c r="C24" s="19">
        <v>200</v>
      </c>
      <c r="D24" s="19">
        <v>200</v>
      </c>
      <c r="E24" s="7"/>
    </row>
    <row r="25" ht="13.75" customHeight="1">
      <c r="A25" t="s" s="17">
        <v>22</v>
      </c>
      <c r="B25" s="18"/>
      <c r="C25" s="19">
        <v>200</v>
      </c>
      <c r="D25" s="19">
        <v>200</v>
      </c>
      <c r="E25" s="7"/>
    </row>
    <row r="26" ht="13.75" customHeight="1">
      <c r="A26" t="s" s="17">
        <v>23</v>
      </c>
      <c r="B26" s="18"/>
      <c r="C26" s="19">
        <v>200</v>
      </c>
      <c r="D26" s="19">
        <v>200</v>
      </c>
      <c r="E26" s="7"/>
    </row>
    <row r="27" ht="13.75" customHeight="1">
      <c r="A27" t="s" s="20">
        <v>24</v>
      </c>
      <c r="B27" s="21"/>
      <c r="C27" s="22">
        <v>200</v>
      </c>
      <c r="D27" s="22">
        <v>200</v>
      </c>
      <c r="E27" s="7"/>
    </row>
    <row r="28" ht="13.55" customHeight="1">
      <c r="A28" t="s" s="30">
        <v>25</v>
      </c>
      <c r="B28" s="31"/>
      <c r="C28" s="32">
        <f>SUM(C18:C27)</f>
        <v>51600</v>
      </c>
      <c r="D28" s="32">
        <f>SUM(D18:D27)</f>
        <v>51600</v>
      </c>
      <c r="E28" s="7"/>
    </row>
    <row r="29" ht="13.55" customHeight="1">
      <c r="A29" t="s" s="30">
        <v>26</v>
      </c>
      <c r="B29" s="31"/>
      <c r="C29" s="32">
        <f>C11-C16-C28</f>
        <v>48400</v>
      </c>
      <c r="D29" s="32">
        <f>D11-D16-D28</f>
        <v>48400</v>
      </c>
      <c r="E29" s="7"/>
    </row>
    <row r="30" ht="13.75" customHeight="1">
      <c r="A30" t="s" s="33">
        <v>27</v>
      </c>
      <c r="B30" s="34"/>
      <c r="C30" s="35">
        <v>4000</v>
      </c>
      <c r="D30" s="35">
        <v>4000</v>
      </c>
      <c r="E30" s="7"/>
    </row>
    <row r="31" ht="13.75" customHeight="1">
      <c r="A31" t="s" s="20">
        <v>28</v>
      </c>
      <c r="B31" s="21"/>
      <c r="C31" s="22"/>
      <c r="D31" s="22"/>
      <c r="E31" s="7"/>
    </row>
    <row r="32" ht="13.55" customHeight="1">
      <c r="A32" t="s" s="30">
        <v>29</v>
      </c>
      <c r="B32" s="31"/>
      <c r="C32" s="32">
        <f>C29+C30-C31</f>
        <v>52400</v>
      </c>
      <c r="D32" s="32">
        <f>D29+D30-D31</f>
        <v>52400</v>
      </c>
      <c r="E32" s="7"/>
    </row>
    <row r="33" ht="13.75" customHeight="1">
      <c r="A33" t="s" s="36">
        <v>30</v>
      </c>
      <c r="B33" s="37"/>
      <c r="C33" s="38"/>
      <c r="D33" s="38"/>
      <c r="E33" s="39"/>
    </row>
    <row r="34" ht="13.55" customHeight="1">
      <c r="A34" t="s" s="40">
        <v>31</v>
      </c>
      <c r="B34" s="41"/>
      <c r="C34" s="42">
        <f>C32-C33</f>
        <v>52400</v>
      </c>
      <c r="D34" s="43">
        <f>D32-D33</f>
        <v>52400</v>
      </c>
      <c r="E34" s="44"/>
    </row>
    <row r="35" ht="13.05" customHeight="1">
      <c r="A35" s="45"/>
      <c r="B35" s="46"/>
      <c r="C35" s="47"/>
      <c r="D35" s="47"/>
      <c r="E35" s="48"/>
    </row>
    <row r="36" ht="12.55" customHeight="1">
      <c r="A36" s="49"/>
      <c r="B36" s="50"/>
      <c r="C36" s="47"/>
      <c r="D36" s="47"/>
      <c r="E36" s="51"/>
    </row>
    <row r="37" ht="12.55" customHeight="1">
      <c r="A37" s="52"/>
      <c r="B37" s="50"/>
      <c r="C37" s="47"/>
      <c r="D37" s="47"/>
      <c r="E37" s="51"/>
    </row>
    <row r="38" ht="12.55" customHeight="1">
      <c r="A38" s="52"/>
      <c r="B38" s="50"/>
      <c r="C38" s="47"/>
      <c r="D38" s="47"/>
      <c r="E38" s="51"/>
    </row>
    <row r="39" ht="12.55" customHeight="1">
      <c r="A39" s="53"/>
      <c r="B39" s="50"/>
      <c r="C39" s="47"/>
      <c r="D39" s="47"/>
      <c r="E39" s="51"/>
    </row>
    <row r="40" ht="12.65" customHeight="1">
      <c r="A40" t="s" s="54">
        <v>32</v>
      </c>
      <c r="B40" s="50"/>
      <c r="C40" s="47"/>
      <c r="D40" s="47"/>
      <c r="E40" s="51"/>
    </row>
    <row r="41" ht="12.65" customHeight="1">
      <c r="A41" t="s" s="55">
        <v>33</v>
      </c>
      <c r="B41" s="56"/>
      <c r="C41" s="57"/>
      <c r="D41" s="57"/>
      <c r="E41" s="58"/>
    </row>
  </sheetData>
  <hyperlinks>
    <hyperlink ref="A41" r:id="rId1" location="" tooltip="" display="conta.com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